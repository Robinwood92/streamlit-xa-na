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E:\Scripts\Ban_do_xa_NA\"/>
    </mc:Choice>
  </mc:AlternateContent>
  <xr:revisionPtr revIDLastSave="0" documentId="13_ncr:1_{1FABF049-E715-49EA-8724-0B4C5566958E}" xr6:coauthVersionLast="36" xr6:coauthVersionMax="47" xr10:uidLastSave="{00000000-0000-0000-0000-000000000000}"/>
  <bookViews>
    <workbookView xWindow="28680" yWindow="-120" windowWidth="29040" windowHeight="15840" xr2:uid="{00000000-000D-0000-FFFF-FFFF00000000}"/>
  </bookViews>
  <sheets>
    <sheet name="DONG" sheetId="1" r:id="rId1"/>
    <sheet name="HSDB"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 i="2" l="1"/>
  <c r="F20" i="2"/>
  <c r="F16" i="2"/>
  <c r="F19" i="2" s="1"/>
  <c r="B30" i="1"/>
  <c r="C2" i="2" s="1"/>
  <c r="F33" i="2" s="1"/>
  <c r="A25" i="1"/>
  <c r="F4" i="1"/>
  <c r="D2" i="2" s="1"/>
  <c r="D32" i="2" l="1"/>
</calcChain>
</file>

<file path=xl/sharedStrings.xml><?xml version="1.0" encoding="utf-8"?>
<sst xmlns="http://schemas.openxmlformats.org/spreadsheetml/2006/main" count="93" uniqueCount="85">
  <si>
    <t>CỘNG HÒA XÃ HỘI CHỦ NGHĨA VIỆT NAM</t>
  </si>
  <si>
    <t>ĐÀI KHÍ TƯỢNG THỦY VĂN</t>
  </si>
  <si>
    <t>Độc lập- Tự do- Hạnh phúc</t>
  </si>
  <si>
    <t>Thời gian phát tin:</t>
  </si>
  <si>
    <t>Trưởng ca dự báo:</t>
  </si>
  <si>
    <t>, các dự báo viên:</t>
  </si>
  <si>
    <t>Trần Ánh Hồng</t>
  </si>
  <si>
    <t>Đào Anh Công</t>
  </si>
  <si>
    <t>1. Thu thập, xử lý các loại thông tin dữ liệu</t>
  </si>
  <si>
    <t>Phan Như Xuyến</t>
  </si>
  <si>
    <t>Phạm Trà My</t>
  </si>
  <si>
    <t>Hoàng Thu Hương</t>
  </si>
  <si>
    <t>Số liệu và thông tin đầy đủ</t>
  </si>
  <si>
    <t>2. Phân tích đánh giá hiện trạng</t>
  </si>
  <si>
    <t>3. Thực hiện các phương án cảnh báo</t>
  </si>
  <si>
    <t>Hình thành trên khu vực cảnh báo</t>
  </si>
  <si>
    <t>Cấp độ rủi ro thiên tai: Cấp 1</t>
  </si>
  <si>
    <t>4. Thảo luận bản tin</t>
  </si>
  <si>
    <t>Tin phát lúc</t>
  </si>
  <si>
    <t>Không có bản tin bổ sung</t>
  </si>
  <si>
    <t xml:space="preserve">8. Đánh giá chất lượng bản tin </t>
  </si>
  <si>
    <t>3. Cảnh báo cấp độ rủi ro thiên tai do lốc, sét, mưa đá: Cấp 1</t>
  </si>
  <si>
    <t>Tin phát lúc:</t>
  </si>
  <si>
    <t>Phụ lục 1: Các xã có khả năng xảy ra dông, tố lốc, sét và gió giật mạnh</t>
  </si>
  <si>
    <t>TRUNG BỘ</t>
  </si>
  <si>
    <t>ĐÀI KTTV TỈNH NGHỆ AN</t>
  </si>
  <si>
    <t>HỒ SƠ CẢNH BÁO DÔNG, LỐC, SÉT, MƯA ĐÁ VÀ MƯA LỚN CỤC BỘ</t>
  </si>
  <si>
    <t>Đơn vị dự báo: Đài KTTV tỉnh Nghệ An, Đài KTTV Trung Bộ</t>
  </si>
  <si>
    <t>Số liệu định vị sét: Website iweather.gov.vn</t>
  </si>
  <si>
    <r>
      <t xml:space="preserve">Có:  </t>
    </r>
    <r>
      <rPr>
        <sz val="11.5"/>
        <color theme="1"/>
        <rFont val="Wingdings"/>
        <charset val="2"/>
      </rPr>
      <t>þ</t>
    </r>
    <r>
      <rPr>
        <sz val="11.5"/>
        <color theme="1"/>
        <rFont val="Times New Roman"/>
        <family val="1"/>
      </rPr>
      <t xml:space="preserve">           Không:   </t>
    </r>
    <r>
      <rPr>
        <sz val="11.5"/>
        <color theme="1"/>
        <rFont val="Wingdings"/>
        <charset val="2"/>
      </rPr>
      <t>¨</t>
    </r>
    <r>
      <rPr>
        <sz val="11.5"/>
        <color theme="1"/>
        <rFont val="Times New Roman"/>
        <family val="1"/>
      </rPr>
      <t xml:space="preserve">
Ghi chú:</t>
    </r>
  </si>
  <si>
    <t>Số liệu vệ tinh: Himawari 8</t>
  </si>
  <si>
    <t>Số liệu rađa: JMA - 272, trạm Ra đa thời tiết Vinh; http://hymetnet.gov.vn/radar/</t>
  </si>
  <si>
    <t>Số liệu quan trắc: Synop, mưa tự động, thám không vô tuyến</t>
  </si>
  <si>
    <t>Các sản phẩm mô hình: WRF, GFS, ECMWF</t>
  </si>
  <si>
    <t>Bản tin thời tiết, dông sét (nếu có): TTDB KTTV quốc gia, trạm Ra đa thời tiết Vinh</t>
  </si>
  <si>
    <t>Kết luận (tính đầy đủ, có bổ sung, chỉnh lý, ghi đầy đủ nếu các bước ở trên đầy đủ,  nếu giả sử radar vinh hoặc radar tổ hợp có vấn đề thì phải ghi vào)</t>
  </si>
  <si>
    <t>Ảnh mây vệ tinh trước 6h đến hiện tại (khu vực mây đối lưu)</t>
  </si>
  <si>
    <t>Mây thay đổi đến nhiều mây</t>
  </si>
  <si>
    <t>Ảnh rađa trước 3h đến hiện tại (khu vực có độ phản hồi lớn)</t>
  </si>
  <si>
    <t>Ảnh định vị sét (cường độ và mật độ)</t>
  </si>
  <si>
    <t>Cường độ và mật độ trung bình</t>
  </si>
  <si>
    <t>Ngoài khu vực cảnh báo (hướng di chuyển, khả năng, mức độ dông sét)</t>
  </si>
  <si>
    <t>Xác định các hiện tượng thời tiết nguy hiểm (lốc, sét, mưa đá, mưa lớn cục bộ)</t>
  </si>
  <si>
    <t>Gây mưa rào và dông cho khu vực cảnh báo (trong cơn dông có khả năng xảy ra tố, lốc, sét mưa đá và gió giật mạnh)</t>
  </si>
  <si>
    <t>Kết luận (thời gian bắt đầu, khu vực, có hay không dông, lốc, sét, mưa đá, mưa lớn cục bộ)</t>
  </si>
  <si>
    <t>Trong vòng 3 giờ tới, các xã dưới đây có khả năng xảy ra dông, lốc, sét, mưa đá và gió giật mạnh. Sau đó có thể lan ra các vùng lân cận. 
 (Chi tiết xem ở phần phụ lục)</t>
  </si>
  <si>
    <t>Các dự báo viên thống nhất với trưởng ca</t>
  </si>
  <si>
    <t xml:space="preserve">5. xây dựng bản tin cảnh báo:
(Hoàn thành trước giờ phát tin 5') </t>
  </si>
  <si>
    <t xml:space="preserve">6. Cung cấp bản tin cảnh báo:
(Fax, Email, cập nhật web và các trục trặc) </t>
  </si>
  <si>
    <t>qua email và tin nhắn zalo tới các xã/phường và các đơn vị liên quan.</t>
  </si>
  <si>
    <t>7. Bổ sung, cập nhật bản tin
(Thời gian và các thông tin cập nhật)</t>
  </si>
  <si>
    <t>Đầy đủ</t>
  </si>
  <si>
    <t>Kịp thời</t>
  </si>
  <si>
    <t>Chất lượng</t>
  </si>
  <si>
    <t>X</t>
  </si>
  <si>
    <t>Chi tiết trong file đính kèm</t>
  </si>
  <si>
    <t>Bản tin đính kèm hồ sơ này:</t>
  </si>
  <si>
    <t>Điểm dự báo</t>
  </si>
  <si>
    <t>KT. GIÁM ĐỐC
PHÓ GIÁM ĐỐC 
Tăng Văn An</t>
  </si>
  <si>
    <r>
      <rPr>
        <b/>
        <sz val="12"/>
        <color theme="1"/>
        <rFont val="Times New Roman"/>
        <family val="1"/>
      </rPr>
      <t>1. Hiện tượng trong 03 giờ qua:</t>
    </r>
    <r>
      <rPr>
        <sz val="12"/>
        <color theme="1"/>
        <rFont val="Times New Roman"/>
        <family val="1"/>
      </rPr>
      <t xml:space="preserve"> Theo dõi trên ảnh mây vệ tinh và ra đa thời tiết Vinh cho thấy vùng phản hồi vô tuyến phát triển trên địa bàn tỉnh Nghệ An</t>
    </r>
  </si>
  <si>
    <t>- Tốc độ di chuyển: 10-15km</t>
  </si>
  <si>
    <r>
      <t xml:space="preserve">2. Cảnh báo khả năng xuất hiện:  </t>
    </r>
    <r>
      <rPr>
        <sz val="11"/>
        <color theme="1"/>
        <rFont val="Times New Roman"/>
        <family val="1"/>
      </rPr>
      <t xml:space="preserve">Hiện tại đến 3 giờ tới, các phường, xã sau có thế xảy ra mưa rào và dông, có nơi có mưa to, sau đó có thể lan sang các vùng lân cận. </t>
    </r>
    <r>
      <rPr>
        <b/>
        <i/>
        <sz val="11"/>
        <color theme="1"/>
        <rFont val="Times New Roman"/>
        <family val="1"/>
      </rPr>
      <t>Trong mưa dông có khả năng xảy ra tố, lốc mưa đá và gió giật mạnh</t>
    </r>
    <r>
      <rPr>
        <i/>
        <sz val="11"/>
        <color theme="1"/>
        <rFont val="Times New Roman"/>
        <family val="1"/>
      </rPr>
      <t xml:space="preserve"> (Chi tiết xem ở phụ lục 1)</t>
    </r>
  </si>
  <si>
    <t>Đại diện cho các xã/phường</t>
  </si>
  <si>
    <t>TIN CẢNH BÁO DÔNG, LỐC, SÉT, MƯA ĐÁ VÀ MƯA LỚN CỤC BỘ 
TRÊN KHU VỰC TỈNH NGHỆ AN</t>
  </si>
  <si>
    <t>- Di chuyển: chủ yếu theo hướng Đông Bắc</t>
  </si>
  <si>
    <t>Tương Dương</t>
  </si>
  <si>
    <t>Con Cuông</t>
  </si>
  <si>
    <r>
      <rPr>
        <b/>
        <i/>
        <sz val="10"/>
        <color theme="1"/>
        <rFont val="Times New Roman"/>
        <family val="1"/>
      </rPr>
      <t>Nơi nhận:</t>
    </r>
    <r>
      <rPr>
        <b/>
        <sz val="10"/>
        <color theme="1"/>
        <rFont val="Times New Roman"/>
        <family val="1"/>
      </rPr>
      <t xml:space="preserve">
</t>
    </r>
    <r>
      <rPr>
        <sz val="10"/>
        <color theme="1"/>
        <rFont val="Times New Roman"/>
        <family val="1"/>
      </rPr>
      <t>- Văn phòng Tỉnh Ủy Nghệ An;
- Văn phòng UBND tỉnh Nghệ An;
- BCH PTDS tỉnh Nghệ An;
- BCH PTDS các xã tỉnh Nghệ An;
- Sở NN&amp;MT tỉnh Nghệ An;
- Báo và PT-TH Nghệ An;
- Trung tâm TT&amp;DL KTTV
- Phòng QLDB&amp;TTDLKTTV
- Lãnh đạo Đài KTTV Trung Bộ;
- Các xã và trạm KTTV tỉnh Nghệ An
- Lưu ĐNA; C.</t>
    </r>
  </si>
  <si>
    <t>Đào Anh Công</t>
  </si>
  <si>
    <t>Số: DONG-15/11h30/NGAN</t>
  </si>
  <si>
    <t>Anh Sơn</t>
  </si>
  <si>
    <t>Anh Sơn, Nhân Hòa, Thành Bình Thọ, Vĩnh Tường</t>
  </si>
  <si>
    <t>Bình Chuẩn, Cam Phục, Châu Khê, Con Cuông, Môn Sơn, Mậu Thạch</t>
  </si>
  <si>
    <t>Nghĩa Đàn</t>
  </si>
  <si>
    <t>Nghĩa Hưng, Nghĩa Khánh, Nghĩa Lâm, Nghĩa Lộc, Nghĩa Mai, Nghĩa Thọ, Nghĩa Đàn</t>
  </si>
  <si>
    <t>Quỳ Châu</t>
  </si>
  <si>
    <t>Châu Bình, Châu Tiến, Hùng Chân, Quỳ Châu</t>
  </si>
  <si>
    <t>Quỳ Hợp</t>
  </si>
  <si>
    <t>Châu Hồng, Châu Lộc, Minh Hợp, Mường Chọng, Mường Ham, Quỳ Hợp, Tam Hợp</t>
  </si>
  <si>
    <t>Tân Kỳ</t>
  </si>
  <si>
    <t>Giai Xuân, Nghĩa Hành, Nghĩa Đồng, Tiên Đồng, Tân An, Tân Kỳ, Tân Phú</t>
  </si>
  <si>
    <t>Tây Hiếu</t>
  </si>
  <si>
    <t>Thái Hòa, Tây Hiếu, Đông Hiếu</t>
  </si>
  <si>
    <t>Nga My, Tam Quang, Yên Hòa</t>
  </si>
  <si>
    <t xml:space="preserve">- Độ PHVT lớn nhất: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</si>
</sst>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Times New Roman"/>
      <family val="1"/>
    </font>
    <font>
      <sz val="11"/>
      <color theme="1"/>
      <name val="Times New Roman"/>
      <family val="1"/>
    </font>
    <font>
      <sz val="10"/>
      <color theme="1"/>
      <name val="Times New Roman"/>
      <family val="1"/>
    </font>
    <font>
      <b/>
      <sz val="10"/>
      <color theme="1"/>
      <name val="Times New Roman"/>
      <family val="1"/>
    </font>
    <font>
      <b/>
      <sz val="14"/>
      <color theme="1"/>
      <name val="Times New Roman"/>
      <family val="1"/>
    </font>
    <font>
      <sz val="12"/>
      <color theme="1"/>
      <name val="Times New Roman"/>
      <family val="1"/>
    </font>
    <font>
      <b/>
      <sz val="12"/>
      <color theme="1"/>
      <name val="Times New Roman"/>
      <family val="1"/>
    </font>
    <font>
      <b/>
      <sz val="12.5"/>
      <color theme="1"/>
      <name val="Times New Roman"/>
      <family val="1"/>
    </font>
    <font>
      <sz val="11.5"/>
      <color rgb="FF000000"/>
      <name val="Times New Roman"/>
      <family val="1"/>
    </font>
    <font>
      <sz val="11.5"/>
      <color theme="1"/>
      <name val="Times New Roman"/>
      <family val="1"/>
    </font>
    <font>
      <b/>
      <sz val="11"/>
      <name val="Calibri"/>
      <family val="2"/>
      <scheme val="minor"/>
    </font>
    <font>
      <b/>
      <i/>
      <sz val="11.5"/>
      <color theme="1"/>
      <name val="Times New Roman"/>
      <family val="1"/>
    </font>
    <font>
      <b/>
      <sz val="11.5"/>
      <color theme="1"/>
      <name val="Times New Roman"/>
      <family val="1"/>
    </font>
    <font>
      <sz val="11.5"/>
      <name val="Times New Roman"/>
      <family val="1"/>
    </font>
    <font>
      <i/>
      <sz val="11"/>
      <color theme="1"/>
      <name val="Times New Roman"/>
      <family val="1"/>
    </font>
    <font>
      <b/>
      <sz val="11.5"/>
      <name val="Times New Roman"/>
      <family val="1"/>
    </font>
    <font>
      <sz val="16"/>
      <color rgb="FFFF0000"/>
      <name val="Times New Roman"/>
      <family val="1"/>
    </font>
    <font>
      <sz val="14"/>
      <color theme="1"/>
      <name val="Times New Roman"/>
      <family val="1"/>
    </font>
    <font>
      <b/>
      <sz val="12.5"/>
      <color rgb="FF000000"/>
      <name val="Times New Roman"/>
      <family val="1"/>
    </font>
    <font>
      <b/>
      <i/>
      <sz val="10"/>
      <color theme="1"/>
      <name val="Times New Roman"/>
      <family val="1"/>
    </font>
    <font>
      <b/>
      <i/>
      <sz val="11"/>
      <color theme="1"/>
      <name val="Times New Roman"/>
      <family val="1"/>
    </font>
    <font>
      <sz val="11.5"/>
      <color theme="1"/>
      <name val="Wingdings"/>
      <charset val="2"/>
    </font>
    <font>
      <sz val="10"/>
      <name val="Arial"/>
      <family val="2"/>
    </font>
    <font>
      <b/>
      <sz val="13"/>
      <color rgb="FF222222"/>
      <name val="Times New Roman"/>
      <family val="1"/>
    </font>
    <font>
      <b/>
      <sz val="12"/>
      <color rgb="FF000000"/>
      <name val="Times New Roman"/>
      <family val="1"/>
    </font>
    <font>
      <b/>
      <sz val="13"/>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23" fillId="0" borderId="0"/>
  </cellStyleXfs>
  <cellXfs count="90">
    <xf numFmtId="0" fontId="0" fillId="0" borderId="0" xfId="0"/>
    <xf numFmtId="0" fontId="2" fillId="0" borderId="0" xfId="0" applyFont="1" applyAlignment="1">
      <alignment horizontal="center"/>
    </xf>
    <xf numFmtId="0" fontId="2" fillId="0" borderId="0" xfId="0" applyFont="1"/>
    <xf numFmtId="0" fontId="3" fillId="0" borderId="0" xfId="0" applyFont="1" applyAlignment="1">
      <alignment vertical="center"/>
    </xf>
    <xf numFmtId="0" fontId="6" fillId="0" borderId="0" xfId="0" applyFont="1"/>
    <xf numFmtId="0" fontId="6" fillId="0" borderId="0" xfId="0" applyFont="1" applyAlignment="1">
      <alignment horizontal="left"/>
    </xf>
    <xf numFmtId="0" fontId="6" fillId="0" borderId="0" xfId="0" applyFont="1" applyAlignment="1">
      <alignment wrapText="1"/>
    </xf>
    <xf numFmtId="0" fontId="11" fillId="0" borderId="0" xfId="0" applyFont="1"/>
    <xf numFmtId="0" fontId="0" fillId="0" borderId="0" xfId="0" applyAlignment="1">
      <alignment horizontal="left"/>
    </xf>
    <xf numFmtId="0" fontId="0" fillId="0" borderId="4" xfId="0" applyBorder="1"/>
    <xf numFmtId="0" fontId="17" fillId="0" borderId="0" xfId="0" applyFont="1"/>
    <xf numFmtId="0" fontId="2" fillId="0" borderId="0" xfId="0" applyFont="1" applyAlignment="1">
      <alignment vertical="top"/>
    </xf>
    <xf numFmtId="0" fontId="18" fillId="0" borderId="0" xfId="0" applyFont="1" applyAlignment="1">
      <alignment vertical="center" wrapText="1"/>
    </xf>
    <xf numFmtId="0" fontId="8" fillId="0" borderId="0" xfId="0" applyFont="1" applyAlignment="1">
      <alignment vertical="center" wrapText="1"/>
    </xf>
    <xf numFmtId="0" fontId="19" fillId="0" borderId="0" xfId="0" applyFont="1" applyAlignment="1">
      <alignment vertical="center" wrapText="1"/>
    </xf>
    <xf numFmtId="0" fontId="6" fillId="0" borderId="0" xfId="0" applyFont="1" applyAlignment="1">
      <alignment vertical="center" wrapText="1"/>
    </xf>
    <xf numFmtId="0" fontId="2" fillId="0" borderId="6" xfId="0" applyFont="1" applyBorder="1" applyAlignment="1">
      <alignment horizontal="left" vertical="center" wrapText="1"/>
    </xf>
    <xf numFmtId="0" fontId="5" fillId="0" borderId="0" xfId="0" applyFont="1" applyAlignment="1">
      <alignment vertical="center"/>
    </xf>
    <xf numFmtId="0" fontId="24" fillId="3" borderId="0" xfId="0" applyFont="1" applyFill="1" applyAlignment="1">
      <alignment vertical="center" wrapText="1"/>
    </xf>
    <xf numFmtId="0" fontId="7" fillId="0" borderId="0" xfId="0" applyFont="1" applyAlignment="1">
      <alignment vertical="center"/>
    </xf>
    <xf numFmtId="0" fontId="0" fillId="0" borderId="0" xfId="0" applyAlignment="1">
      <alignment vertical="top" wrapText="1"/>
    </xf>
    <xf numFmtId="0" fontId="25" fillId="0" borderId="0" xfId="0" applyFont="1" applyAlignment="1">
      <alignment horizontal="center" vertical="center" wrapText="1"/>
    </xf>
    <xf numFmtId="0" fontId="6" fillId="0" borderId="0" xfId="0" applyFont="1" applyAlignment="1">
      <alignment horizontal="center" vertical="center"/>
    </xf>
    <xf numFmtId="49" fontId="6" fillId="0" borderId="0" xfId="0" applyNumberFormat="1" applyFont="1" applyAlignment="1">
      <alignment vertical="center"/>
    </xf>
    <xf numFmtId="0" fontId="6" fillId="0" borderId="0" xfId="0" quotePrefix="1" applyFont="1" applyAlignment="1">
      <alignment vertical="center"/>
    </xf>
    <xf numFmtId="0" fontId="6" fillId="0" borderId="1" xfId="0" applyFont="1" applyBorder="1" applyAlignment="1">
      <alignment horizontal="left" vertical="center" wrapText="1"/>
    </xf>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1" fillId="0" borderId="0" xfId="0" applyFont="1" applyAlignment="1">
      <alignment horizontal="center" vertical="top" wrapText="1"/>
    </xf>
    <xf numFmtId="0" fontId="3" fillId="0" borderId="0" xfId="0" applyFont="1" applyAlignment="1">
      <alignment horizontal="left" vertical="top" wrapText="1"/>
    </xf>
    <xf numFmtId="0" fontId="7" fillId="0" borderId="12" xfId="0" applyFont="1" applyBorder="1" applyAlignment="1">
      <alignment horizontal="center" vertical="center"/>
    </xf>
    <xf numFmtId="0" fontId="7" fillId="0" borderId="1" xfId="0" applyFont="1" applyBorder="1" applyAlignment="1">
      <alignment horizontal="center" vertical="center"/>
    </xf>
    <xf numFmtId="0" fontId="2" fillId="0" borderId="0" xfId="0" applyFont="1" applyAlignment="1">
      <alignment horizontal="center" vertical="center"/>
    </xf>
    <xf numFmtId="0" fontId="1" fillId="0" borderId="0" xfId="0" applyFont="1" applyAlignment="1">
      <alignment horizontal="center" wrapText="1"/>
    </xf>
    <xf numFmtId="0" fontId="2" fillId="0" borderId="0" xfId="0" applyFont="1" applyAlignment="1">
      <alignment horizontal="center"/>
    </xf>
    <xf numFmtId="0" fontId="1" fillId="0" borderId="0" xfId="0" applyFont="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0" fillId="0" borderId="1" xfId="0" applyBorder="1" applyAlignment="1">
      <alignment horizontal="left" vertical="center"/>
    </xf>
    <xf numFmtId="0" fontId="26" fillId="0" borderId="0" xfId="0" applyFont="1" applyAlignment="1">
      <alignment horizontal="center" vertical="center" wrapText="1"/>
    </xf>
    <xf numFmtId="0" fontId="6" fillId="0" borderId="0" xfId="0" applyFont="1" applyAlignment="1">
      <alignment horizontal="left" vertical="top" wrapText="1"/>
    </xf>
    <xf numFmtId="0" fontId="1" fillId="0" borderId="0" xfId="0" applyFont="1" applyAlignment="1">
      <alignment vertical="center" wrapText="1"/>
    </xf>
    <xf numFmtId="49" fontId="6" fillId="0" borderId="0" xfId="0" applyNumberFormat="1" applyFont="1" applyAlignment="1">
      <alignment horizontal="left"/>
    </xf>
    <xf numFmtId="0" fontId="1" fillId="0" borderId="0" xfId="0" applyFont="1" applyAlignment="1">
      <alignment horizontal="left"/>
    </xf>
    <xf numFmtId="0" fontId="3" fillId="0" borderId="0" xfId="0" applyFont="1" applyAlignment="1">
      <alignment horizontal="center" vertical="center" wrapText="1"/>
    </xf>
    <xf numFmtId="0" fontId="7" fillId="0" borderId="5" xfId="0" applyFont="1" applyBorder="1" applyAlignment="1">
      <alignment horizontal="center" vertical="center"/>
    </xf>
    <xf numFmtId="0" fontId="7" fillId="0" borderId="7" xfId="0" applyFont="1" applyBorder="1" applyAlignment="1">
      <alignment horizontal="center" vertical="center"/>
    </xf>
    <xf numFmtId="0" fontId="9" fillId="0" borderId="1" xfId="0" applyFont="1" applyBorder="1" applyAlignment="1">
      <alignment horizontal="left" vertical="center" wrapText="1"/>
    </xf>
    <xf numFmtId="0" fontId="0" fillId="0" borderId="6" xfId="0" applyBorder="1"/>
    <xf numFmtId="0" fontId="0" fillId="0" borderId="7" xfId="0" applyBorder="1"/>
    <xf numFmtId="0" fontId="0" fillId="0" borderId="2" xfId="0" applyBorder="1"/>
    <xf numFmtId="0" fontId="0" fillId="0" borderId="3" xfId="0" applyBorder="1"/>
    <xf numFmtId="0" fontId="0" fillId="0" borderId="4" xfId="0" applyBorder="1"/>
    <xf numFmtId="0" fontId="0" fillId="0" borderId="8" xfId="0" applyBorder="1"/>
    <xf numFmtId="0" fontId="0" fillId="0" borderId="9" xfId="0" applyBorder="1"/>
    <xf numFmtId="0" fontId="0" fillId="0" borderId="10" xfId="0" applyBorder="1"/>
    <xf numFmtId="0" fontId="0" fillId="0" borderId="12" xfId="0" applyBorder="1"/>
    <xf numFmtId="0" fontId="10" fillId="0" borderId="1" xfId="0" applyFont="1" applyBorder="1" applyAlignment="1">
      <alignment horizontal="left" vertical="center" wrapText="1"/>
    </xf>
    <xf numFmtId="0" fontId="5" fillId="0" borderId="0" xfId="0" applyFont="1" applyAlignment="1">
      <alignment horizontal="center" vertical="center"/>
    </xf>
    <xf numFmtId="0" fontId="0" fillId="0" borderId="0" xfId="0"/>
    <xf numFmtId="0" fontId="7" fillId="0" borderId="0" xfId="0" applyFont="1" applyAlignment="1">
      <alignment horizontal="center"/>
    </xf>
    <xf numFmtId="0" fontId="8" fillId="0" borderId="1" xfId="0" applyFont="1" applyBorder="1" applyAlignment="1">
      <alignment horizontal="left" vertical="center" wrapText="1"/>
    </xf>
    <xf numFmtId="0" fontId="10" fillId="2" borderId="7" xfId="0" applyFont="1" applyFill="1" applyBorder="1" applyAlignment="1">
      <alignment horizontal="left" vertical="center" wrapText="1"/>
    </xf>
    <xf numFmtId="0" fontId="0" fillId="0" borderId="6" xfId="0" applyBorder="1" applyAlignment="1">
      <alignment horizontal="left"/>
    </xf>
    <xf numFmtId="0" fontId="0" fillId="0" borderId="7" xfId="0" applyBorder="1" applyAlignment="1">
      <alignment horizontal="left"/>
    </xf>
    <xf numFmtId="49" fontId="10" fillId="0" borderId="1" xfId="0" applyNumberFormat="1" applyFont="1" applyBorder="1" applyAlignment="1">
      <alignment horizontal="left" vertical="center" wrapText="1"/>
    </xf>
    <xf numFmtId="0" fontId="6" fillId="0" borderId="11" xfId="0" applyFont="1" applyBorder="1" applyAlignment="1">
      <alignment horizontal="left" vertical="center"/>
    </xf>
    <xf numFmtId="0" fontId="0" fillId="0" borderId="12" xfId="0" applyBorder="1" applyAlignment="1">
      <alignment horizontal="left"/>
    </xf>
    <xf numFmtId="0" fontId="0" fillId="0" borderId="9" xfId="0" applyBorder="1" applyAlignment="1">
      <alignment horizontal="left"/>
    </xf>
    <xf numFmtId="0" fontId="13" fillId="0" borderId="1" xfId="0" applyFont="1" applyBorder="1" applyAlignment="1">
      <alignment horizontal="left" vertical="center" wrapText="1"/>
    </xf>
    <xf numFmtId="0" fontId="0" fillId="0" borderId="0" xfId="0" applyAlignment="1">
      <alignment horizontal="left"/>
    </xf>
    <xf numFmtId="0" fontId="10" fillId="0" borderId="13" xfId="0" applyFont="1" applyBorder="1" applyAlignment="1">
      <alignment horizontal="left" vertical="top" wrapText="1"/>
    </xf>
    <xf numFmtId="0" fontId="10" fillId="0" borderId="14" xfId="0" applyFont="1" applyBorder="1" applyAlignment="1">
      <alignment horizontal="left" vertical="center" wrapText="1"/>
    </xf>
    <xf numFmtId="0" fontId="12" fillId="0" borderId="11" xfId="0" applyFont="1" applyBorder="1" applyAlignment="1">
      <alignment horizontal="left" vertical="center" wrapText="1"/>
    </xf>
    <xf numFmtId="0" fontId="14" fillId="0" borderId="1" xfId="0" applyFont="1" applyBorder="1" applyAlignment="1">
      <alignment horizontal="left" vertical="center" wrapText="1"/>
    </xf>
    <xf numFmtId="0" fontId="0" fillId="0" borderId="10" xfId="0" applyBorder="1" applyAlignment="1">
      <alignment horizontal="left"/>
    </xf>
    <xf numFmtId="0" fontId="0" fillId="0" borderId="2" xfId="0" applyBorder="1" applyAlignment="1">
      <alignment horizontal="left"/>
    </xf>
    <xf numFmtId="0" fontId="0" fillId="0" borderId="8" xfId="0" applyBorder="1" applyAlignment="1">
      <alignment horizontal="left"/>
    </xf>
    <xf numFmtId="0" fontId="13" fillId="0" borderId="1" xfId="0" applyFont="1" applyBorder="1" applyAlignment="1">
      <alignment horizontal="left" vertical="top" wrapText="1"/>
    </xf>
    <xf numFmtId="0" fontId="2" fillId="0" borderId="5" xfId="0" applyFont="1" applyBorder="1" applyAlignment="1">
      <alignment horizontal="left" vertical="center" wrapText="1"/>
    </xf>
    <xf numFmtId="0" fontId="14" fillId="0" borderId="1" xfId="0" applyFont="1" applyBorder="1" applyAlignment="1">
      <alignment horizontal="center" vertical="center" wrapText="1"/>
    </xf>
    <xf numFmtId="0" fontId="2" fillId="0" borderId="7" xfId="0" applyFont="1" applyBorder="1" applyAlignment="1">
      <alignment horizontal="left" vertical="center" wrapText="1"/>
    </xf>
    <xf numFmtId="0" fontId="10" fillId="0" borderId="13" xfId="0" applyFont="1" applyBorder="1" applyAlignment="1">
      <alignment horizontal="left" vertical="center"/>
    </xf>
    <xf numFmtId="0" fontId="7"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6" fillId="0" borderId="5" xfId="0" applyFont="1" applyBorder="1" applyAlignment="1">
      <alignment horizontal="left" vertical="center" wrapText="1"/>
    </xf>
    <xf numFmtId="0" fontId="16" fillId="0" borderId="1"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386493</xdr:colOff>
      <xdr:row>32</xdr:row>
      <xdr:rowOff>0</xdr:rowOff>
    </xdr:from>
    <xdr:to>
      <xdr:col>7</xdr:col>
      <xdr:colOff>353652</xdr:colOff>
      <xdr:row>37</xdr:row>
      <xdr:rowOff>91587</xdr:rowOff>
    </xdr:to>
    <xdr:pic>
      <xdr:nvPicPr>
        <xdr:cNvPr id="7" name="Picture 6" descr="C:\Users\Anh Nam\Desktop\z6580835233144_d0ff5c6febdb14c209c57d0f7f8ae2e5.jpg">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cstate="print">
          <a:clrChange>
            <a:clrFrom>
              <a:srgbClr val="FFFDF6"/>
            </a:clrFrom>
            <a:clrTo>
              <a:srgbClr val="FFFDF6">
                <a:alpha val="0"/>
              </a:srgbClr>
            </a:clrTo>
          </a:clrChange>
          <a:extLst>
            <a:ext uri="{28A0092B-C50C-407E-A947-70E740481C1C}">
              <a14:useLocalDpi xmlns:a14="http://schemas.microsoft.com/office/drawing/2010/main" val="0"/>
            </a:ext>
          </a:extLst>
        </a:blip>
        <a:srcRect/>
        <a:stretch>
          <a:fillRect/>
        </a:stretch>
      </xdr:blipFill>
      <xdr:spPr bwMode="auto">
        <a:xfrm>
          <a:off x="3830147" y="7524750"/>
          <a:ext cx="1183428" cy="1044087"/>
        </a:xfrm>
        <a:prstGeom prst="rect">
          <a:avLst/>
        </a:prstGeom>
        <a:noFill/>
        <a:ln>
          <a:noFill/>
        </a:ln>
      </xdr:spPr>
    </xdr:pic>
    <xdr:clientData/>
  </xdr:twoCellAnchor>
  <xdr:twoCellAnchor>
    <xdr:from>
      <xdr:col>0</xdr:col>
      <xdr:colOff>574301</xdr:colOff>
      <xdr:row>3</xdr:row>
      <xdr:rowOff>0</xdr:rowOff>
    </xdr:from>
    <xdr:to>
      <xdr:col>2</xdr:col>
      <xdr:colOff>581305</xdr:colOff>
      <xdr:row>3</xdr:row>
      <xdr:rowOff>0</xdr:rowOff>
    </xdr:to>
    <xdr:cxnSp macro="">
      <xdr:nvCxnSpPr>
        <xdr:cNvPr id="6" name="Straight Connector 5">
          <a:extLst>
            <a:ext uri="{FF2B5EF4-FFF2-40B4-BE49-F238E27FC236}">
              <a16:creationId xmlns:a16="http://schemas.microsoft.com/office/drawing/2014/main" id="{00000000-0008-0000-0000-000006000000}"/>
            </a:ext>
          </a:extLst>
        </xdr:cNvPr>
        <xdr:cNvCxnSpPr/>
      </xdr:nvCxnSpPr>
      <xdr:spPr>
        <a:xfrm>
          <a:off x="574301" y="581305"/>
          <a:ext cx="140773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252132</xdr:colOff>
      <xdr:row>1</xdr:row>
      <xdr:rowOff>182095</xdr:rowOff>
    </xdr:from>
    <xdr:to>
      <xdr:col>7</xdr:col>
      <xdr:colOff>392205</xdr:colOff>
      <xdr:row>1</xdr:row>
      <xdr:rowOff>182095</xdr:rowOff>
    </xdr:to>
    <xdr:cxnSp macro="">
      <xdr:nvCxnSpPr>
        <xdr:cNvPr id="9" name="Straight Connector 8">
          <a:extLst>
            <a:ext uri="{FF2B5EF4-FFF2-40B4-BE49-F238E27FC236}">
              <a16:creationId xmlns:a16="http://schemas.microsoft.com/office/drawing/2014/main" id="{00000000-0008-0000-0000-000009000000}"/>
            </a:ext>
          </a:extLst>
        </xdr:cNvPr>
        <xdr:cNvCxnSpPr/>
      </xdr:nvCxnSpPr>
      <xdr:spPr>
        <a:xfrm>
          <a:off x="3480827" y="385202"/>
          <a:ext cx="135871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8</xdr:col>
      <xdr:colOff>7327</xdr:colOff>
      <xdr:row>12</xdr:row>
      <xdr:rowOff>109904</xdr:rowOff>
    </xdr:from>
    <xdr:to>
      <xdr:col>8</xdr:col>
      <xdr:colOff>267288</xdr:colOff>
      <xdr:row>23</xdr:row>
      <xdr:rowOff>247650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5385" y="2469173"/>
          <a:ext cx="259961" cy="320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60"/>
  <sheetViews>
    <sheetView tabSelected="1" topLeftCell="A6" zoomScale="130" zoomScaleNormal="130" workbookViewId="0">
      <selection activeCell="E13" sqref="E13"/>
    </sheetView>
  </sheetViews>
  <sheetFormatPr defaultRowHeight="15.75" x14ac:dyDescent="0.25"/>
  <cols>
    <col min="1" max="1" width="15.140625" style="22" customWidth="1"/>
    <col min="8" max="8" width="9.140625" customWidth="1"/>
    <col min="9" max="9" width="8.85546875" customWidth="1"/>
    <col min="10" max="10" width="9.140625" customWidth="1"/>
  </cols>
  <sheetData>
    <row r="1" spans="1:19" x14ac:dyDescent="0.25">
      <c r="A1" s="34" t="s">
        <v>1</v>
      </c>
      <c r="B1" s="34"/>
      <c r="C1" s="34"/>
      <c r="D1" s="34"/>
      <c r="E1" s="35" t="s">
        <v>0</v>
      </c>
      <c r="F1" s="35"/>
      <c r="G1" s="35"/>
      <c r="H1" s="35"/>
      <c r="I1" s="35"/>
    </row>
    <row r="2" spans="1:19" ht="15" x14ac:dyDescent="0.25">
      <c r="A2" s="34" t="s">
        <v>24</v>
      </c>
      <c r="B2" s="34"/>
      <c r="C2" s="34"/>
      <c r="D2" s="34"/>
      <c r="E2" s="36" t="s">
        <v>2</v>
      </c>
      <c r="F2" s="36"/>
      <c r="G2" s="36"/>
      <c r="H2" s="36"/>
      <c r="I2" s="36"/>
    </row>
    <row r="3" spans="1:19" ht="15" x14ac:dyDescent="0.25">
      <c r="A3" s="37" t="s">
        <v>25</v>
      </c>
      <c r="B3" s="37"/>
      <c r="C3" s="37"/>
      <c r="D3" s="37"/>
      <c r="E3" s="2"/>
      <c r="F3" s="2"/>
      <c r="G3" s="2"/>
      <c r="H3" s="2"/>
      <c r="I3" s="2"/>
    </row>
    <row r="4" spans="1:19" ht="15" x14ac:dyDescent="0.25">
      <c r="A4" s="34" t="s">
        <v>69</v>
      </c>
      <c r="B4" s="34"/>
      <c r="C4" s="34"/>
      <c r="D4" s="34"/>
      <c r="E4" s="2"/>
      <c r="F4" s="2" t="str">
        <f ca="1" xml:space="preserve"> "Nghệ An, ngày "&amp; TEXT(TODAY(),"dd")&amp; " tháng "&amp;TEXT(TODAY(),"mm")&amp;" năm "&amp;TEXT(TODAY(),"yyyy")</f>
        <v>Nghệ An, ngày 25 tháng 03 năm 2026</v>
      </c>
      <c r="G4" s="2"/>
      <c r="H4" s="2"/>
      <c r="I4" s="2"/>
    </row>
    <row r="5" spans="1:19" x14ac:dyDescent="0.25">
      <c r="B5" s="2"/>
      <c r="C5" s="2"/>
      <c r="D5" s="2"/>
      <c r="E5" s="2"/>
      <c r="F5" s="2"/>
      <c r="G5" s="2"/>
      <c r="H5" s="2"/>
      <c r="I5" s="2"/>
    </row>
    <row r="6" spans="1:19" ht="15" x14ac:dyDescent="0.25">
      <c r="A6" s="41" t="s">
        <v>63</v>
      </c>
      <c r="B6" s="41"/>
      <c r="C6" s="41"/>
      <c r="D6" s="41"/>
      <c r="E6" s="41"/>
      <c r="F6" s="41"/>
      <c r="G6" s="41"/>
      <c r="H6" s="41"/>
      <c r="I6" s="41"/>
    </row>
    <row r="7" spans="1:19" ht="23.25" customHeight="1" x14ac:dyDescent="0.25">
      <c r="A7" s="41"/>
      <c r="B7" s="41"/>
      <c r="C7" s="41"/>
      <c r="D7" s="41"/>
      <c r="E7" s="41"/>
      <c r="F7" s="41"/>
      <c r="G7" s="41"/>
      <c r="H7" s="41"/>
      <c r="I7" s="41"/>
    </row>
    <row r="8" spans="1:19" ht="15" x14ac:dyDescent="0.25">
      <c r="A8" s="42" t="s">
        <v>59</v>
      </c>
      <c r="B8" s="42"/>
      <c r="C8" s="42"/>
      <c r="D8" s="42"/>
      <c r="E8" s="42"/>
      <c r="F8" s="42"/>
      <c r="G8" s="42"/>
      <c r="H8" s="42"/>
      <c r="I8" s="42"/>
    </row>
    <row r="9" spans="1:19" ht="18" customHeight="1" x14ac:dyDescent="0.25">
      <c r="A9" s="42"/>
      <c r="B9" s="42"/>
      <c r="C9" s="42"/>
      <c r="D9" s="42"/>
      <c r="E9" s="42"/>
      <c r="F9" s="42"/>
      <c r="G9" s="42"/>
      <c r="H9" s="42"/>
      <c r="I9" s="42"/>
    </row>
    <row r="10" spans="1:19" x14ac:dyDescent="0.25">
      <c r="A10" s="44" t="s">
        <v>84</v>
      </c>
      <c r="B10" s="44"/>
      <c r="C10" s="44"/>
      <c r="D10" s="44"/>
      <c r="E10" s="44"/>
      <c r="F10" s="44"/>
      <c r="G10" s="44"/>
      <c r="H10" s="44"/>
      <c r="I10" s="44"/>
    </row>
    <row r="11" spans="1:19" x14ac:dyDescent="0.25">
      <c r="A11" s="23" t="s">
        <v>64</v>
      </c>
      <c r="B11" s="23"/>
      <c r="C11" s="23"/>
      <c r="D11" s="23"/>
      <c r="E11" s="23"/>
      <c r="F11" s="23"/>
      <c r="G11" s="23"/>
      <c r="H11" s="23"/>
      <c r="I11" s="23"/>
    </row>
    <row r="12" spans="1:19" ht="15.75" customHeight="1" x14ac:dyDescent="0.25">
      <c r="A12" s="24" t="s">
        <v>60</v>
      </c>
      <c r="B12" s="24"/>
      <c r="C12" s="24"/>
      <c r="D12" s="24"/>
      <c r="E12" s="24"/>
      <c r="F12" s="24"/>
      <c r="G12" s="24"/>
      <c r="H12" s="24"/>
      <c r="I12" s="24"/>
      <c r="K12" s="20"/>
      <c r="L12" s="20"/>
      <c r="M12" s="20"/>
      <c r="N12" s="20"/>
      <c r="O12" s="20"/>
      <c r="P12" s="20"/>
      <c r="Q12" s="20"/>
      <c r="R12" s="20"/>
      <c r="S12" s="20"/>
    </row>
    <row r="13" spans="1:19" ht="21.75" customHeight="1" x14ac:dyDescent="0.25">
      <c r="A13" s="21"/>
      <c r="C13" s="3"/>
      <c r="D13" s="3"/>
      <c r="E13" s="3"/>
      <c r="F13" s="3"/>
      <c r="G13" s="3"/>
      <c r="H13" s="3"/>
      <c r="K13" s="20"/>
      <c r="L13" s="20"/>
      <c r="M13" s="20"/>
      <c r="N13" s="20"/>
      <c r="O13" s="20"/>
      <c r="P13" s="20"/>
      <c r="Q13" s="20"/>
      <c r="R13" s="20"/>
      <c r="S13" s="20"/>
    </row>
    <row r="14" spans="1:19" ht="21.75" customHeight="1" x14ac:dyDescent="0.25">
      <c r="K14" s="20"/>
      <c r="L14" s="20"/>
      <c r="M14" s="20"/>
      <c r="N14" s="20"/>
      <c r="O14" s="20"/>
      <c r="P14" s="20"/>
      <c r="Q14" s="20"/>
      <c r="R14" s="20"/>
      <c r="S14" s="20"/>
    </row>
    <row r="15" spans="1:19" ht="21.75" customHeight="1" x14ac:dyDescent="0.25">
      <c r="K15" s="20"/>
      <c r="L15" s="20"/>
      <c r="M15" s="20"/>
      <c r="N15" s="20"/>
      <c r="O15" s="20"/>
      <c r="P15" s="20"/>
      <c r="Q15" s="20"/>
      <c r="R15" s="20"/>
      <c r="S15" s="20"/>
    </row>
    <row r="16" spans="1:19" ht="21.75" customHeight="1" x14ac:dyDescent="0.25">
      <c r="K16" s="20"/>
      <c r="L16" s="20"/>
      <c r="M16" s="20"/>
      <c r="N16" s="20"/>
      <c r="O16" s="20"/>
      <c r="P16" s="20"/>
      <c r="Q16" s="20"/>
      <c r="R16" s="20"/>
      <c r="S16" s="20"/>
    </row>
    <row r="17" spans="1:19" ht="21.75" customHeight="1" x14ac:dyDescent="0.25">
      <c r="K17" s="20"/>
      <c r="L17" s="20"/>
      <c r="M17" s="20"/>
      <c r="N17" s="20"/>
      <c r="O17" s="20"/>
      <c r="P17" s="20"/>
      <c r="Q17" s="20"/>
      <c r="R17" s="20"/>
      <c r="S17" s="20"/>
    </row>
    <row r="18" spans="1:19" ht="21.75" customHeight="1" x14ac:dyDescent="0.25">
      <c r="K18" s="20"/>
      <c r="L18" s="20"/>
      <c r="M18" s="20"/>
      <c r="N18" s="20"/>
      <c r="O18" s="20"/>
      <c r="P18" s="20"/>
      <c r="Q18" s="20"/>
      <c r="R18" s="20"/>
      <c r="S18" s="20"/>
    </row>
    <row r="19" spans="1:19" ht="21.75" customHeight="1" x14ac:dyDescent="0.25">
      <c r="K19" s="20"/>
      <c r="L19" s="20"/>
      <c r="M19" s="20"/>
      <c r="N19" s="20"/>
      <c r="O19" s="20"/>
      <c r="P19" s="20"/>
      <c r="Q19" s="20"/>
      <c r="R19" s="20"/>
      <c r="S19" s="20"/>
    </row>
    <row r="20" spans="1:19" ht="21.75" customHeight="1" x14ac:dyDescent="0.25">
      <c r="K20" s="20"/>
      <c r="L20" s="20"/>
      <c r="M20" s="20"/>
      <c r="N20" s="20"/>
      <c r="O20" s="20"/>
      <c r="P20" s="20"/>
      <c r="Q20" s="20"/>
      <c r="R20" s="20"/>
    </row>
    <row r="21" spans="1:19" ht="21.75" customHeight="1" x14ac:dyDescent="0.25">
      <c r="K21" s="20"/>
      <c r="L21" s="20"/>
      <c r="M21" s="20"/>
      <c r="N21" s="20"/>
      <c r="O21" s="20"/>
      <c r="P21" s="20"/>
      <c r="Q21" s="20"/>
      <c r="R21" s="20"/>
    </row>
    <row r="22" spans="1:19" ht="21.75" customHeight="1" x14ac:dyDescent="0.25">
      <c r="K22" s="20"/>
      <c r="L22" s="20"/>
      <c r="M22" s="20"/>
      <c r="N22" s="20"/>
      <c r="O22" s="20"/>
      <c r="P22" s="20"/>
      <c r="Q22" s="20"/>
      <c r="R22" s="20"/>
    </row>
    <row r="23" spans="1:19" ht="21.75" customHeight="1" x14ac:dyDescent="0.25">
      <c r="K23" s="20"/>
      <c r="L23" s="20"/>
      <c r="M23" s="20"/>
      <c r="N23" s="20"/>
      <c r="O23" s="20"/>
      <c r="P23" s="20"/>
      <c r="Q23" s="20"/>
      <c r="R23" s="20"/>
    </row>
    <row r="24" spans="1:19" ht="30" customHeight="1" x14ac:dyDescent="0.25">
      <c r="K24" s="20"/>
      <c r="L24" s="20"/>
      <c r="M24" s="20"/>
      <c r="N24" s="20"/>
      <c r="O24" s="20"/>
      <c r="P24" s="20"/>
      <c r="Q24" s="20"/>
      <c r="R24" s="20"/>
    </row>
    <row r="25" spans="1:19" ht="20.25" customHeight="1" x14ac:dyDescent="0.25">
      <c r="A25" s="46" t="str">
        <f>"Hình ảnh Ra đa Vinh lúc "&amp;MID(A4,FIND("/",A4)+1,5)</f>
        <v>Hình ảnh Ra đa Vinh lúc 11h30</v>
      </c>
      <c r="B25" s="46"/>
      <c r="C25" s="46"/>
      <c r="D25" s="46"/>
      <c r="E25" s="46"/>
      <c r="F25" s="46"/>
      <c r="G25" s="46"/>
      <c r="H25" s="46"/>
      <c r="I25" s="46"/>
    </row>
    <row r="26" spans="1:19" ht="15" x14ac:dyDescent="0.25">
      <c r="A26" s="43" t="s">
        <v>61</v>
      </c>
      <c r="B26" s="43"/>
      <c r="C26" s="43"/>
      <c r="D26" s="43"/>
      <c r="E26" s="43"/>
      <c r="F26" s="43"/>
      <c r="G26" s="43"/>
      <c r="H26" s="43"/>
      <c r="I26" s="43"/>
    </row>
    <row r="27" spans="1:19" ht="31.5" customHeight="1" x14ac:dyDescent="0.25">
      <c r="A27" s="43"/>
      <c r="B27" s="43"/>
      <c r="C27" s="43"/>
      <c r="D27" s="43"/>
      <c r="E27" s="43"/>
      <c r="F27" s="43"/>
      <c r="G27" s="43"/>
      <c r="H27" s="43"/>
      <c r="I27" s="43"/>
    </row>
    <row r="28" spans="1:19" ht="15" x14ac:dyDescent="0.25">
      <c r="A28" s="45" t="s">
        <v>21</v>
      </c>
      <c r="B28" s="45"/>
      <c r="C28" s="45"/>
      <c r="D28" s="45"/>
      <c r="E28" s="45"/>
      <c r="F28" s="45"/>
      <c r="G28" s="45"/>
      <c r="H28" s="45"/>
      <c r="I28" s="45"/>
    </row>
    <row r="29" spans="1:19" hidden="1" x14ac:dyDescent="0.25"/>
    <row r="30" spans="1:19" x14ac:dyDescent="0.25">
      <c r="A30" s="22" t="s">
        <v>22</v>
      </c>
      <c r="B30" s="36" t="str">
        <f>MID(A4,FIND("/",A4)+1,5)</f>
        <v>11h30</v>
      </c>
      <c r="C30" s="36"/>
      <c r="D30" s="2"/>
      <c r="E30" s="2"/>
      <c r="F30" s="2"/>
      <c r="G30" s="36"/>
      <c r="H30" s="36"/>
      <c r="I30" s="36"/>
    </row>
    <row r="31" spans="1:19" ht="15" customHeight="1" x14ac:dyDescent="0.25">
      <c r="A31" s="31" t="s">
        <v>67</v>
      </c>
      <c r="B31" s="31"/>
      <c r="C31" s="31"/>
      <c r="D31" s="31"/>
      <c r="E31" s="2"/>
      <c r="F31" s="30" t="s">
        <v>58</v>
      </c>
      <c r="G31" s="30"/>
      <c r="H31" s="30"/>
      <c r="I31" s="30"/>
    </row>
    <row r="32" spans="1:19" ht="15" x14ac:dyDescent="0.25">
      <c r="A32" s="31"/>
      <c r="B32" s="31"/>
      <c r="C32" s="31"/>
      <c r="D32" s="31"/>
      <c r="E32" s="2"/>
      <c r="F32" s="30"/>
      <c r="G32" s="30"/>
      <c r="H32" s="30"/>
      <c r="I32" s="30"/>
    </row>
    <row r="33" spans="1:12" ht="15" x14ac:dyDescent="0.25">
      <c r="A33" s="31"/>
      <c r="B33" s="31"/>
      <c r="C33" s="31"/>
      <c r="D33" s="31"/>
      <c r="E33" s="2"/>
      <c r="F33" s="30"/>
      <c r="G33" s="30"/>
      <c r="H33" s="30"/>
      <c r="I33" s="30"/>
    </row>
    <row r="34" spans="1:12" ht="15" x14ac:dyDescent="0.25">
      <c r="A34" s="31"/>
      <c r="B34" s="31"/>
      <c r="C34" s="31"/>
      <c r="D34" s="31"/>
      <c r="F34" s="30"/>
      <c r="G34" s="30"/>
      <c r="H34" s="30"/>
      <c r="I34" s="30"/>
    </row>
    <row r="35" spans="1:12" ht="15" x14ac:dyDescent="0.25">
      <c r="A35" s="31"/>
      <c r="B35" s="31"/>
      <c r="C35" s="31"/>
      <c r="D35" s="31"/>
      <c r="F35" s="30"/>
      <c r="G35" s="30"/>
      <c r="H35" s="30"/>
      <c r="I35" s="30"/>
    </row>
    <row r="36" spans="1:12" ht="15" x14ac:dyDescent="0.25">
      <c r="A36" s="31"/>
      <c r="B36" s="31"/>
      <c r="C36" s="31"/>
      <c r="D36" s="31"/>
      <c r="F36" s="30"/>
      <c r="G36" s="30"/>
      <c r="H36" s="30"/>
      <c r="I36" s="30"/>
    </row>
    <row r="37" spans="1:12" ht="15" x14ac:dyDescent="0.25">
      <c r="A37" s="31"/>
      <c r="B37" s="31"/>
      <c r="C37" s="31"/>
      <c r="D37" s="31"/>
      <c r="F37" s="30"/>
      <c r="G37" s="30"/>
      <c r="H37" s="30"/>
      <c r="I37" s="30"/>
    </row>
    <row r="38" spans="1:12" ht="15" x14ac:dyDescent="0.25">
      <c r="A38" s="31"/>
      <c r="B38" s="31"/>
      <c r="C38" s="31"/>
      <c r="D38" s="31"/>
      <c r="F38" s="30"/>
      <c r="G38" s="30"/>
      <c r="H38" s="30"/>
      <c r="I38" s="30"/>
    </row>
    <row r="39" spans="1:12" ht="57.75" customHeight="1" x14ac:dyDescent="0.25">
      <c r="A39" s="31"/>
      <c r="B39" s="31"/>
      <c r="C39" s="31"/>
      <c r="D39" s="31"/>
      <c r="F39" s="30"/>
      <c r="G39" s="30"/>
      <c r="H39" s="30"/>
      <c r="I39" s="30"/>
    </row>
    <row r="43" spans="1:12" ht="33.75" customHeight="1" x14ac:dyDescent="0.25"/>
    <row r="44" spans="1:12" ht="24" customHeight="1" x14ac:dyDescent="0.25">
      <c r="A44" s="32" t="s">
        <v>23</v>
      </c>
      <c r="B44" s="32"/>
      <c r="C44" s="32"/>
      <c r="D44" s="32"/>
      <c r="E44" s="32"/>
      <c r="F44" s="32"/>
      <c r="G44" s="32"/>
      <c r="H44" s="32"/>
      <c r="I44" s="17"/>
      <c r="J44" s="17"/>
      <c r="K44" s="17"/>
      <c r="L44" s="17"/>
    </row>
    <row r="45" spans="1:12" ht="33" customHeight="1" x14ac:dyDescent="0.25">
      <c r="A45" s="47" t="s">
        <v>57</v>
      </c>
      <c r="B45" s="48"/>
      <c r="C45" s="33" t="s">
        <v>62</v>
      </c>
      <c r="D45" s="33"/>
      <c r="E45" s="33"/>
      <c r="F45" s="33"/>
      <c r="G45" s="33"/>
      <c r="H45" s="33"/>
      <c r="I45" s="33"/>
      <c r="J45" s="18"/>
      <c r="K45" s="17"/>
      <c r="L45" s="17"/>
    </row>
    <row r="46" spans="1:12" s="8" customFormat="1" ht="34.5" customHeight="1" x14ac:dyDescent="0.25">
      <c r="A46" s="26" t="s">
        <v>70</v>
      </c>
      <c r="B46" s="27"/>
      <c r="C46" s="25" t="s">
        <v>71</v>
      </c>
      <c r="D46" s="25"/>
      <c r="E46" s="25"/>
      <c r="F46" s="25"/>
      <c r="G46" s="25"/>
      <c r="H46" s="25"/>
      <c r="I46" s="25"/>
    </row>
    <row r="47" spans="1:12" s="8" customFormat="1" ht="34.5" customHeight="1" x14ac:dyDescent="0.25">
      <c r="A47" s="26" t="s">
        <v>66</v>
      </c>
      <c r="B47" s="27"/>
      <c r="C47" s="25" t="s">
        <v>72</v>
      </c>
      <c r="D47" s="25"/>
      <c r="E47" s="25"/>
      <c r="F47" s="25"/>
      <c r="G47" s="25"/>
      <c r="H47" s="25"/>
      <c r="I47" s="25"/>
    </row>
    <row r="48" spans="1:12" s="8" customFormat="1" ht="34.5" customHeight="1" x14ac:dyDescent="0.25">
      <c r="A48" s="26" t="s">
        <v>73</v>
      </c>
      <c r="B48" s="27"/>
      <c r="C48" s="25" t="s">
        <v>74</v>
      </c>
      <c r="D48" s="25"/>
      <c r="E48" s="25"/>
      <c r="F48" s="25"/>
      <c r="G48" s="25"/>
      <c r="H48" s="25"/>
      <c r="I48" s="25"/>
    </row>
    <row r="49" spans="1:9" s="8" customFormat="1" ht="32.25" customHeight="1" x14ac:dyDescent="0.25">
      <c r="A49" s="26" t="s">
        <v>75</v>
      </c>
      <c r="B49" s="27"/>
      <c r="C49" s="25" t="s">
        <v>76</v>
      </c>
      <c r="D49" s="25"/>
      <c r="E49" s="25"/>
      <c r="F49" s="25"/>
      <c r="G49" s="25"/>
      <c r="H49" s="25"/>
      <c r="I49" s="25"/>
    </row>
    <row r="50" spans="1:9" s="8" customFormat="1" ht="30" customHeight="1" x14ac:dyDescent="0.25">
      <c r="A50" s="26" t="s">
        <v>77</v>
      </c>
      <c r="B50" s="27"/>
      <c r="C50" s="25" t="s">
        <v>78</v>
      </c>
      <c r="D50" s="25"/>
      <c r="E50" s="25"/>
      <c r="F50" s="25"/>
      <c r="G50" s="25"/>
      <c r="H50" s="25"/>
      <c r="I50" s="25"/>
    </row>
    <row r="51" spans="1:9" s="8" customFormat="1" ht="33.75" customHeight="1" x14ac:dyDescent="0.25">
      <c r="A51" s="26" t="s">
        <v>79</v>
      </c>
      <c r="B51" s="27"/>
      <c r="C51" s="25" t="s">
        <v>80</v>
      </c>
      <c r="D51" s="25"/>
      <c r="E51" s="25"/>
      <c r="F51" s="25"/>
      <c r="G51" s="25"/>
      <c r="H51" s="25"/>
      <c r="I51" s="25"/>
    </row>
    <row r="52" spans="1:9" s="8" customFormat="1" ht="30" customHeight="1" x14ac:dyDescent="0.25">
      <c r="A52" s="26" t="s">
        <v>81</v>
      </c>
      <c r="B52" s="27"/>
      <c r="C52" s="25" t="s">
        <v>82</v>
      </c>
      <c r="D52" s="25"/>
      <c r="E52" s="25"/>
      <c r="F52" s="25"/>
      <c r="G52" s="25"/>
      <c r="H52" s="25"/>
      <c r="I52" s="25"/>
    </row>
    <row r="53" spans="1:9" s="8" customFormat="1" ht="31.5" customHeight="1" x14ac:dyDescent="0.25">
      <c r="A53" s="26" t="s">
        <v>65</v>
      </c>
      <c r="B53" s="27"/>
      <c r="C53" s="25" t="s">
        <v>83</v>
      </c>
      <c r="D53" s="25"/>
      <c r="E53" s="25"/>
      <c r="F53" s="25"/>
      <c r="G53" s="25"/>
      <c r="H53" s="25"/>
      <c r="I53" s="25"/>
    </row>
    <row r="54" spans="1:9" ht="31.5" hidden="1" customHeight="1" x14ac:dyDescent="0.25">
      <c r="A54" s="26"/>
      <c r="B54" s="27"/>
      <c r="C54" s="28"/>
      <c r="D54" s="29"/>
      <c r="E54" s="29"/>
      <c r="F54" s="29"/>
      <c r="G54" s="29"/>
      <c r="H54" s="29"/>
      <c r="I54" s="29"/>
    </row>
    <row r="55" spans="1:9" ht="32.25" hidden="1" customHeight="1" x14ac:dyDescent="0.25">
      <c r="A55" s="26"/>
      <c r="B55" s="27"/>
      <c r="C55" s="28"/>
      <c r="D55" s="29"/>
      <c r="E55" s="29"/>
      <c r="F55" s="29"/>
      <c r="G55" s="29"/>
      <c r="H55" s="29"/>
      <c r="I55" s="29"/>
    </row>
    <row r="56" spans="1:9" ht="32.25" hidden="1" customHeight="1" x14ac:dyDescent="0.25">
      <c r="A56" s="26"/>
      <c r="B56" s="27"/>
      <c r="C56" s="28"/>
      <c r="D56" s="29"/>
      <c r="E56" s="29"/>
      <c r="F56" s="29"/>
      <c r="G56" s="29"/>
      <c r="H56" s="29"/>
      <c r="I56" s="29"/>
    </row>
    <row r="57" spans="1:9" ht="16.5" hidden="1" customHeight="1" x14ac:dyDescent="0.25">
      <c r="A57" s="26"/>
      <c r="B57" s="27"/>
      <c r="C57" s="28"/>
      <c r="D57" s="29"/>
      <c r="E57" s="29"/>
      <c r="F57" s="29"/>
      <c r="G57" s="29"/>
      <c r="H57" s="29"/>
      <c r="I57" s="29"/>
    </row>
    <row r="58" spans="1:9" ht="24.75" hidden="1" customHeight="1" x14ac:dyDescent="0.25">
      <c r="A58" s="26"/>
      <c r="B58" s="27"/>
      <c r="C58" s="28"/>
      <c r="D58" s="29"/>
      <c r="E58" s="29"/>
      <c r="F58" s="29"/>
      <c r="G58" s="29"/>
      <c r="H58" s="29"/>
      <c r="I58" s="29"/>
    </row>
    <row r="59" spans="1:9" ht="21.75" hidden="1" customHeight="1" x14ac:dyDescent="0.25">
      <c r="A59" s="38"/>
      <c r="B59" s="38"/>
      <c r="C59" s="39"/>
      <c r="D59" s="40"/>
      <c r="E59" s="40"/>
      <c r="F59" s="40"/>
      <c r="G59" s="40"/>
      <c r="H59" s="40"/>
      <c r="I59" s="40"/>
    </row>
    <row r="60" spans="1:9" ht="20.25" customHeight="1" x14ac:dyDescent="0.25"/>
  </sheetData>
  <mergeCells count="47">
    <mergeCell ref="A59:B59"/>
    <mergeCell ref="C59:I59"/>
    <mergeCell ref="A4:D4"/>
    <mergeCell ref="B30:C30"/>
    <mergeCell ref="A6:I7"/>
    <mergeCell ref="A8:I9"/>
    <mergeCell ref="A26:I27"/>
    <mergeCell ref="A10:I10"/>
    <mergeCell ref="A28:I28"/>
    <mergeCell ref="G30:I30"/>
    <mergeCell ref="A25:I25"/>
    <mergeCell ref="A45:B45"/>
    <mergeCell ref="A49:B49"/>
    <mergeCell ref="A50:B50"/>
    <mergeCell ref="A1:D1"/>
    <mergeCell ref="E1:I1"/>
    <mergeCell ref="A2:D2"/>
    <mergeCell ref="E2:I2"/>
    <mergeCell ref="A3:D3"/>
    <mergeCell ref="F31:I39"/>
    <mergeCell ref="A31:D39"/>
    <mergeCell ref="A44:H44"/>
    <mergeCell ref="A48:B48"/>
    <mergeCell ref="A46:B46"/>
    <mergeCell ref="A47:B47"/>
    <mergeCell ref="C45:I45"/>
    <mergeCell ref="C46:I46"/>
    <mergeCell ref="C47:I47"/>
    <mergeCell ref="C48:I48"/>
    <mergeCell ref="A58:B58"/>
    <mergeCell ref="C58:I58"/>
    <mergeCell ref="C56:I56"/>
    <mergeCell ref="A56:B56"/>
    <mergeCell ref="A53:B53"/>
    <mergeCell ref="C53:I53"/>
    <mergeCell ref="A54:B54"/>
    <mergeCell ref="C54:I54"/>
    <mergeCell ref="A55:B55"/>
    <mergeCell ref="C55:I55"/>
    <mergeCell ref="C49:I49"/>
    <mergeCell ref="C50:I50"/>
    <mergeCell ref="C51:I51"/>
    <mergeCell ref="C52:I52"/>
    <mergeCell ref="A57:B57"/>
    <mergeCell ref="C57:I57"/>
    <mergeCell ref="A51:B51"/>
    <mergeCell ref="A52:B52"/>
  </mergeCells>
  <pageMargins left="1" right="0.5" top="0.5" bottom="0.2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41"/>
  <sheetViews>
    <sheetView topLeftCell="A25" zoomScale="115" zoomScaleNormal="115" workbookViewId="0">
      <selection activeCell="C9" sqref="C9:E9"/>
    </sheetView>
  </sheetViews>
  <sheetFormatPr defaultRowHeight="15" x14ac:dyDescent="0.25"/>
  <cols>
    <col min="1" max="2" width="8.42578125" customWidth="1"/>
    <col min="3" max="3" width="14.140625" customWidth="1"/>
    <col min="4" max="4" width="8" customWidth="1"/>
    <col min="5" max="5" width="7.28515625" customWidth="1"/>
    <col min="6" max="6" width="9.28515625" customWidth="1"/>
    <col min="7" max="7" width="9.5703125" customWidth="1"/>
    <col min="8" max="8" width="9" customWidth="1"/>
    <col min="9" max="9" width="7.42578125" customWidth="1"/>
    <col min="10" max="10" width="5" customWidth="1"/>
    <col min="12" max="12" width="16" hidden="1" customWidth="1"/>
    <col min="13" max="13" width="10.85546875" customWidth="1"/>
  </cols>
  <sheetData>
    <row r="1" spans="1:17" ht="27" customHeight="1" x14ac:dyDescent="0.25">
      <c r="A1" s="60" t="s">
        <v>26</v>
      </c>
      <c r="B1" s="61"/>
      <c r="C1" s="61"/>
      <c r="D1" s="61"/>
      <c r="E1" s="61"/>
      <c r="F1" s="61"/>
      <c r="G1" s="61"/>
      <c r="H1" s="61"/>
      <c r="I1" s="61"/>
      <c r="J1" s="61"/>
    </row>
    <row r="2" spans="1:17" ht="15.75" x14ac:dyDescent="0.25">
      <c r="A2" s="4" t="s">
        <v>3</v>
      </c>
      <c r="B2" s="4"/>
      <c r="C2" s="1" t="str">
        <f>DONG!B30</f>
        <v>11h30</v>
      </c>
      <c r="D2" s="5" t="str">
        <f ca="1">MID(DONG!F4,10,100)</f>
        <v>ngày 25 tháng 03 năm 2026</v>
      </c>
      <c r="E2" s="5"/>
      <c r="F2" s="5"/>
      <c r="G2" s="5"/>
      <c r="H2" s="4"/>
      <c r="I2" s="4"/>
    </row>
    <row r="3" spans="1:17" ht="15.75" x14ac:dyDescent="0.25">
      <c r="A3" s="4" t="s">
        <v>27</v>
      </c>
      <c r="B3" s="4"/>
      <c r="C3" s="6"/>
      <c r="D3" s="4"/>
      <c r="E3" s="4"/>
      <c r="F3" s="4"/>
      <c r="G3" s="4"/>
      <c r="H3" s="4"/>
      <c r="I3" s="4"/>
    </row>
    <row r="4" spans="1:17" ht="15.75" x14ac:dyDescent="0.25">
      <c r="A4" s="4" t="s">
        <v>4</v>
      </c>
      <c r="B4" s="4"/>
      <c r="C4" s="62" t="s">
        <v>68</v>
      </c>
      <c r="D4" s="61"/>
      <c r="E4" s="4" t="s">
        <v>5</v>
      </c>
      <c r="F4" s="4"/>
      <c r="G4" s="62" t="s">
        <v>6</v>
      </c>
      <c r="H4" s="61"/>
      <c r="I4" s="61"/>
      <c r="L4" t="s">
        <v>6</v>
      </c>
    </row>
    <row r="5" spans="1:17" x14ac:dyDescent="0.25">
      <c r="L5" t="s">
        <v>7</v>
      </c>
    </row>
    <row r="6" spans="1:17" ht="17.25" customHeight="1" x14ac:dyDescent="0.25">
      <c r="A6" s="63" t="s">
        <v>8</v>
      </c>
      <c r="B6" s="50"/>
      <c r="C6" s="50"/>
      <c r="D6" s="50"/>
      <c r="E6" s="50"/>
      <c r="F6" s="50"/>
      <c r="G6" s="50"/>
      <c r="H6" s="50"/>
      <c r="I6" s="50"/>
      <c r="J6" s="51"/>
      <c r="L6" t="s">
        <v>9</v>
      </c>
    </row>
    <row r="7" spans="1:17" ht="50.1" customHeight="1" x14ac:dyDescent="0.25">
      <c r="A7" s="49"/>
      <c r="B7" s="52"/>
      <c r="C7" s="49" t="s">
        <v>28</v>
      </c>
      <c r="D7" s="50"/>
      <c r="E7" s="51"/>
      <c r="F7" s="59" t="s">
        <v>29</v>
      </c>
      <c r="G7" s="50"/>
      <c r="H7" s="50"/>
      <c r="I7" s="50"/>
      <c r="J7" s="51"/>
      <c r="L7" t="s">
        <v>10</v>
      </c>
    </row>
    <row r="8" spans="1:17" ht="50.1" customHeight="1" x14ac:dyDescent="0.25">
      <c r="A8" s="53"/>
      <c r="B8" s="54"/>
      <c r="C8" s="49" t="s">
        <v>30</v>
      </c>
      <c r="D8" s="50"/>
      <c r="E8" s="51"/>
      <c r="F8" s="59" t="s">
        <v>29</v>
      </c>
      <c r="G8" s="50"/>
      <c r="H8" s="50"/>
      <c r="I8" s="50"/>
      <c r="J8" s="51"/>
      <c r="L8" t="s">
        <v>11</v>
      </c>
    </row>
    <row r="9" spans="1:17" ht="50.1" customHeight="1" x14ac:dyDescent="0.25">
      <c r="A9" s="53"/>
      <c r="B9" s="54"/>
      <c r="C9" s="49" t="s">
        <v>31</v>
      </c>
      <c r="D9" s="50"/>
      <c r="E9" s="51"/>
      <c r="F9" s="59" t="s">
        <v>29</v>
      </c>
      <c r="G9" s="50"/>
      <c r="H9" s="50"/>
      <c r="I9" s="50"/>
      <c r="J9" s="51"/>
    </row>
    <row r="10" spans="1:17" ht="50.1" customHeight="1" x14ac:dyDescent="0.25">
      <c r="A10" s="53"/>
      <c r="B10" s="54"/>
      <c r="C10" s="49" t="s">
        <v>32</v>
      </c>
      <c r="D10" s="50"/>
      <c r="E10" s="51"/>
      <c r="F10" s="59" t="s">
        <v>29</v>
      </c>
      <c r="G10" s="50"/>
      <c r="H10" s="50"/>
      <c r="I10" s="50"/>
      <c r="J10" s="51"/>
    </row>
    <row r="11" spans="1:17" ht="50.1" customHeight="1" x14ac:dyDescent="0.25">
      <c r="A11" s="53"/>
      <c r="B11" s="54"/>
      <c r="C11" s="49" t="s">
        <v>33</v>
      </c>
      <c r="D11" s="50"/>
      <c r="E11" s="51"/>
      <c r="F11" s="59" t="s">
        <v>29</v>
      </c>
      <c r="G11" s="50"/>
      <c r="H11" s="50"/>
      <c r="I11" s="50"/>
      <c r="J11" s="51"/>
    </row>
    <row r="12" spans="1:17" ht="50.1" customHeight="1" x14ac:dyDescent="0.25">
      <c r="A12" s="55"/>
      <c r="B12" s="56"/>
      <c r="C12" s="49" t="s">
        <v>34</v>
      </c>
      <c r="D12" s="50"/>
      <c r="E12" s="51"/>
      <c r="F12" s="59" t="s">
        <v>29</v>
      </c>
      <c r="G12" s="50"/>
      <c r="H12" s="50"/>
      <c r="I12" s="50"/>
      <c r="J12" s="51"/>
    </row>
    <row r="13" spans="1:17" ht="63" customHeight="1" x14ac:dyDescent="0.25">
      <c r="A13" s="59" t="s">
        <v>35</v>
      </c>
      <c r="B13" s="50"/>
      <c r="C13" s="50"/>
      <c r="D13" s="50"/>
      <c r="E13" s="51"/>
      <c r="F13" s="64" t="s">
        <v>12</v>
      </c>
      <c r="G13" s="65"/>
      <c r="H13" s="65"/>
      <c r="I13" s="65"/>
      <c r="J13" s="66"/>
      <c r="M13" s="7"/>
      <c r="N13" s="7"/>
      <c r="O13" s="7"/>
      <c r="P13" s="7"/>
      <c r="Q13" s="7"/>
    </row>
    <row r="14" spans="1:17" ht="16.5" customHeight="1" x14ac:dyDescent="0.25">
      <c r="A14" s="59" t="s">
        <v>13</v>
      </c>
      <c r="B14" s="50"/>
      <c r="C14" s="50"/>
      <c r="D14" s="50"/>
      <c r="E14" s="50"/>
      <c r="F14" s="50"/>
      <c r="G14" s="50"/>
      <c r="H14" s="50"/>
      <c r="I14" s="50"/>
      <c r="J14" s="51"/>
      <c r="M14" s="7"/>
      <c r="N14" s="7"/>
      <c r="O14" s="7"/>
      <c r="P14" s="7"/>
      <c r="Q14" s="7"/>
    </row>
    <row r="15" spans="1:17" ht="77.25" customHeight="1" x14ac:dyDescent="0.25">
      <c r="A15" s="49"/>
      <c r="B15" s="52"/>
      <c r="C15" s="49" t="s">
        <v>36</v>
      </c>
      <c r="D15" s="50"/>
      <c r="E15" s="51"/>
      <c r="F15" s="59" t="s">
        <v>37</v>
      </c>
      <c r="G15" s="50"/>
      <c r="H15" s="50"/>
      <c r="I15" s="50"/>
      <c r="J15" s="51"/>
    </row>
    <row r="16" spans="1:17" ht="87.75" customHeight="1" x14ac:dyDescent="0.25">
      <c r="A16" s="53"/>
      <c r="B16" s="54"/>
      <c r="C16" s="49" t="s">
        <v>38</v>
      </c>
      <c r="D16" s="50"/>
      <c r="E16" s="51"/>
      <c r="F16" s="59" t="str">
        <f>MID(DONG!A8,4,1000)&amp;","&amp;MID(DONG!A10,2,1000)</f>
        <v xml:space="preserve">Hiện tượng trong 03 giờ qua: Theo dõi trên ảnh mây vệ tinh và ra đa thời tiết Vinh cho thấy vùng phản hồi vô tuyến phát triển trên địa bàn tỉnh Nghệ An, Độ PHVT lớn nhất: </v>
      </c>
      <c r="G16" s="50"/>
      <c r="H16" s="50"/>
      <c r="I16" s="50"/>
      <c r="J16" s="51"/>
    </row>
    <row r="17" spans="1:12" ht="33.75" customHeight="1" x14ac:dyDescent="0.25">
      <c r="A17" s="55"/>
      <c r="B17" s="56"/>
      <c r="C17" s="49" t="s">
        <v>39</v>
      </c>
      <c r="D17" s="50"/>
      <c r="E17" s="51"/>
      <c r="F17" s="59" t="s">
        <v>40</v>
      </c>
      <c r="G17" s="50"/>
      <c r="H17" s="50"/>
      <c r="I17" s="50"/>
      <c r="J17" s="51"/>
    </row>
    <row r="18" spans="1:12" ht="20.25" customHeight="1" x14ac:dyDescent="0.25">
      <c r="A18" s="59" t="s">
        <v>14</v>
      </c>
      <c r="B18" s="50"/>
      <c r="C18" s="50"/>
      <c r="D18" s="50"/>
      <c r="E18" s="50"/>
      <c r="F18" s="50"/>
      <c r="G18" s="50"/>
      <c r="H18" s="50"/>
      <c r="I18" s="50"/>
      <c r="J18" s="51"/>
    </row>
    <row r="19" spans="1:12" ht="87" customHeight="1" x14ac:dyDescent="0.25">
      <c r="A19" s="49"/>
      <c r="B19" s="52"/>
      <c r="C19" s="49" t="s">
        <v>15</v>
      </c>
      <c r="D19" s="50"/>
      <c r="E19" s="51"/>
      <c r="F19" s="59" t="str">
        <f>F16</f>
        <v xml:space="preserve">Hiện tượng trong 03 giờ qua: Theo dõi trên ảnh mây vệ tinh và ra đa thời tiết Vinh cho thấy vùng phản hồi vô tuyến phát triển trên địa bàn tỉnh Nghệ An, Độ PHVT lớn nhất: </v>
      </c>
      <c r="G19" s="50"/>
      <c r="H19" s="50"/>
      <c r="I19" s="50"/>
      <c r="J19" s="51"/>
    </row>
    <row r="20" spans="1:12" ht="28.5" customHeight="1" x14ac:dyDescent="0.25">
      <c r="A20" s="53"/>
      <c r="B20" s="54"/>
      <c r="C20" s="49" t="s">
        <v>41</v>
      </c>
      <c r="D20" s="57"/>
      <c r="E20" s="52"/>
      <c r="F20" s="67" t="str">
        <f>DONG!A11</f>
        <v>- Di chuyển: chủ yếu theo hướng Đông Bắc</v>
      </c>
      <c r="G20" s="50"/>
      <c r="H20" s="50"/>
      <c r="I20" s="50"/>
      <c r="J20" s="51"/>
    </row>
    <row r="21" spans="1:12" ht="26.25" customHeight="1" x14ac:dyDescent="0.25">
      <c r="A21" s="53"/>
      <c r="B21" s="54"/>
      <c r="C21" s="55"/>
      <c r="D21" s="58"/>
      <c r="E21" s="56"/>
      <c r="F21" s="59" t="str">
        <f>DONG!A12</f>
        <v>- Tốc độ di chuyển: 10-15km</v>
      </c>
      <c r="G21" s="50"/>
      <c r="H21" s="50"/>
      <c r="I21" s="50"/>
      <c r="J21" s="51"/>
    </row>
    <row r="22" spans="1:12" ht="60.75" customHeight="1" x14ac:dyDescent="0.25">
      <c r="A22" s="55"/>
      <c r="B22" s="56"/>
      <c r="C22" s="49" t="s">
        <v>42</v>
      </c>
      <c r="D22" s="50"/>
      <c r="E22" s="51"/>
      <c r="F22" s="59" t="s">
        <v>43</v>
      </c>
      <c r="G22" s="50"/>
      <c r="H22" s="50"/>
      <c r="I22" s="50"/>
      <c r="J22" s="51"/>
    </row>
    <row r="23" spans="1:12" ht="27" customHeight="1" x14ac:dyDescent="0.25">
      <c r="A23" s="59" t="s">
        <v>44</v>
      </c>
      <c r="B23" s="57"/>
      <c r="C23" s="52"/>
      <c r="D23" s="73" t="s">
        <v>45</v>
      </c>
      <c r="E23" s="57"/>
      <c r="F23" s="57"/>
      <c r="G23" s="57"/>
      <c r="H23" s="57"/>
      <c r="I23" s="57"/>
      <c r="J23" s="52"/>
    </row>
    <row r="24" spans="1:12" ht="21.75" customHeight="1" x14ac:dyDescent="0.25">
      <c r="A24" s="53"/>
      <c r="B24" s="61"/>
      <c r="C24" s="54"/>
      <c r="D24" s="53"/>
      <c r="E24" s="61"/>
      <c r="F24" s="61"/>
      <c r="G24" s="61"/>
      <c r="H24" s="61"/>
      <c r="I24" s="61"/>
      <c r="J24" s="54"/>
    </row>
    <row r="25" spans="1:12" ht="30.75" customHeight="1" x14ac:dyDescent="0.25">
      <c r="A25" s="53"/>
      <c r="B25" s="72"/>
      <c r="C25" s="54"/>
      <c r="D25" s="53"/>
      <c r="E25" s="72"/>
      <c r="F25" s="72"/>
      <c r="G25" s="72"/>
      <c r="H25" s="72"/>
      <c r="I25" s="72"/>
      <c r="J25" s="54"/>
      <c r="L25" s="8"/>
    </row>
    <row r="26" spans="1:12" s="8" customFormat="1" ht="30.75" customHeight="1" x14ac:dyDescent="0.25">
      <c r="A26" s="53"/>
      <c r="B26" s="61"/>
      <c r="C26" s="54"/>
      <c r="D26" s="74"/>
      <c r="E26" s="61"/>
      <c r="F26" s="61"/>
      <c r="G26" s="61"/>
      <c r="H26" s="61"/>
      <c r="I26" s="61"/>
      <c r="J26" s="54"/>
      <c r="L26"/>
    </row>
    <row r="27" spans="1:12" ht="18.75" customHeight="1" x14ac:dyDescent="0.25">
      <c r="A27" s="53"/>
      <c r="B27" s="61"/>
      <c r="C27" s="54"/>
      <c r="D27" s="75" t="s">
        <v>16</v>
      </c>
      <c r="E27" s="61"/>
      <c r="F27" s="61"/>
      <c r="G27" s="61"/>
      <c r="H27" s="61"/>
      <c r="I27" s="61"/>
      <c r="J27" s="54"/>
    </row>
    <row r="28" spans="1:12" ht="18.75" customHeight="1" x14ac:dyDescent="0.25">
      <c r="A28" s="55"/>
      <c r="B28" s="58"/>
      <c r="C28" s="56"/>
      <c r="D28" s="55"/>
      <c r="E28" s="58"/>
      <c r="F28" s="58"/>
      <c r="G28" s="58"/>
      <c r="H28" s="58"/>
      <c r="I28" s="58"/>
      <c r="J28" s="56"/>
    </row>
    <row r="29" spans="1:12" ht="3" customHeight="1" x14ac:dyDescent="0.25">
      <c r="A29" s="71" t="s">
        <v>17</v>
      </c>
      <c r="B29" s="57"/>
      <c r="C29" s="52"/>
      <c r="D29" s="76" t="s">
        <v>46</v>
      </c>
      <c r="E29" s="77"/>
      <c r="F29" s="77"/>
      <c r="G29" s="77"/>
      <c r="H29" s="77"/>
      <c r="I29" s="77"/>
      <c r="J29" s="78"/>
      <c r="L29" s="9"/>
    </row>
    <row r="30" spans="1:12" ht="39" customHeight="1" x14ac:dyDescent="0.25">
      <c r="A30" s="55"/>
      <c r="B30" s="58"/>
      <c r="C30" s="56"/>
      <c r="D30" s="79"/>
      <c r="E30" s="69"/>
      <c r="F30" s="69"/>
      <c r="G30" s="69"/>
      <c r="H30" s="69"/>
      <c r="I30" s="69"/>
      <c r="J30" s="70"/>
    </row>
    <row r="31" spans="1:12" ht="32.25" customHeight="1" x14ac:dyDescent="0.25">
      <c r="A31" s="71" t="s">
        <v>47</v>
      </c>
      <c r="B31" s="57"/>
      <c r="C31" s="52"/>
      <c r="D31" s="84" t="s">
        <v>56</v>
      </c>
      <c r="E31" s="77"/>
      <c r="F31" s="77"/>
      <c r="G31" s="77"/>
      <c r="H31" s="77"/>
      <c r="I31" s="77"/>
      <c r="J31" s="78"/>
    </row>
    <row r="32" spans="1:12" ht="32.25" customHeight="1" x14ac:dyDescent="0.25">
      <c r="A32" s="55"/>
      <c r="B32" s="58"/>
      <c r="C32" s="56"/>
      <c r="D32" s="68" t="str">
        <f>"NGAN_DONG_"&amp;DONG!J2</f>
        <v>NGAN_DONG_</v>
      </c>
      <c r="E32" s="69"/>
      <c r="F32" s="69"/>
      <c r="G32" s="69"/>
      <c r="H32" s="69"/>
      <c r="I32" s="69"/>
      <c r="J32" s="70"/>
    </row>
    <row r="33" spans="1:13" ht="53.25" customHeight="1" x14ac:dyDescent="0.25">
      <c r="A33" s="80" t="s">
        <v>48</v>
      </c>
      <c r="B33" s="50"/>
      <c r="C33" s="51"/>
      <c r="D33" s="81" t="s">
        <v>18</v>
      </c>
      <c r="E33" s="65"/>
      <c r="F33" s="16" t="str">
        <f>C2</f>
        <v>11h30</v>
      </c>
      <c r="G33" s="83" t="s">
        <v>49</v>
      </c>
      <c r="H33" s="65"/>
      <c r="I33" s="65"/>
      <c r="J33" s="66"/>
    </row>
    <row r="34" spans="1:13" ht="30" customHeight="1" x14ac:dyDescent="0.25">
      <c r="A34" s="88" t="s">
        <v>50</v>
      </c>
      <c r="B34" s="57"/>
      <c r="C34" s="57"/>
      <c r="D34" s="39" t="s">
        <v>19</v>
      </c>
      <c r="E34" s="77"/>
      <c r="F34" s="77"/>
      <c r="G34" s="77"/>
      <c r="H34" s="77"/>
      <c r="I34" s="77"/>
      <c r="J34" s="78"/>
      <c r="L34" s="2"/>
    </row>
    <row r="35" spans="1:13" s="2" customFormat="1" ht="30" customHeight="1" x14ac:dyDescent="0.3">
      <c r="A35" s="55"/>
      <c r="B35" s="58"/>
      <c r="C35" s="58"/>
      <c r="D35" s="79"/>
      <c r="E35" s="69"/>
      <c r="F35" s="69"/>
      <c r="G35" s="69"/>
      <c r="H35" s="69"/>
      <c r="I35" s="69"/>
      <c r="J35" s="70"/>
      <c r="M35" s="10"/>
    </row>
    <row r="36" spans="1:13" s="2" customFormat="1" ht="18.75" customHeight="1" x14ac:dyDescent="0.25">
      <c r="A36" s="89" t="s">
        <v>20</v>
      </c>
      <c r="B36" s="57"/>
      <c r="C36" s="52"/>
      <c r="D36" s="82" t="s">
        <v>51</v>
      </c>
      <c r="E36" s="51"/>
      <c r="F36" s="82" t="s">
        <v>52</v>
      </c>
      <c r="G36" s="51"/>
      <c r="H36" s="82" t="s">
        <v>53</v>
      </c>
      <c r="I36" s="50"/>
      <c r="J36" s="51"/>
      <c r="L36" s="11"/>
    </row>
    <row r="37" spans="1:13" s="11" customFormat="1" ht="36" customHeight="1" x14ac:dyDescent="0.25">
      <c r="A37" s="55"/>
      <c r="B37" s="58"/>
      <c r="C37" s="56"/>
      <c r="D37" s="82" t="s">
        <v>54</v>
      </c>
      <c r="E37" s="51"/>
      <c r="F37" s="86" t="s">
        <v>54</v>
      </c>
      <c r="G37" s="51"/>
      <c r="H37" s="87" t="s">
        <v>55</v>
      </c>
      <c r="I37" s="50"/>
      <c r="J37" s="51"/>
      <c r="L37"/>
    </row>
    <row r="38" spans="1:13" ht="16.5" customHeight="1" x14ac:dyDescent="0.25">
      <c r="A38" s="12"/>
      <c r="B38" s="13"/>
      <c r="C38" s="13"/>
      <c r="D38" s="13"/>
      <c r="E38" s="14"/>
      <c r="F38" s="14"/>
      <c r="G38" s="15"/>
      <c r="H38" s="15"/>
      <c r="I38" s="15"/>
    </row>
    <row r="39" spans="1:13" ht="16.5" customHeight="1" x14ac:dyDescent="0.25">
      <c r="A39" s="12"/>
      <c r="B39" s="13"/>
      <c r="C39" s="13"/>
      <c r="D39" s="13"/>
      <c r="E39" s="14"/>
      <c r="F39" s="14"/>
      <c r="G39" s="12"/>
    </row>
    <row r="40" spans="1:13" ht="16.5" customHeight="1" x14ac:dyDescent="0.25">
      <c r="A40" s="12"/>
      <c r="B40" s="13"/>
      <c r="C40" s="13"/>
      <c r="D40" s="13"/>
      <c r="E40" s="14"/>
      <c r="F40" s="14"/>
      <c r="G40" s="15"/>
      <c r="H40" s="15"/>
      <c r="I40" s="15"/>
    </row>
    <row r="41" spans="1:13" ht="16.5" customHeight="1" x14ac:dyDescent="0.25">
      <c r="A41" s="85" t="s">
        <v>23</v>
      </c>
      <c r="B41" s="85"/>
      <c r="C41" s="85"/>
      <c r="D41" s="85"/>
      <c r="E41" s="85"/>
      <c r="F41" s="85"/>
      <c r="G41" s="85"/>
      <c r="H41" s="85"/>
      <c r="I41" s="19"/>
      <c r="J41" s="19"/>
    </row>
  </sheetData>
  <mergeCells count="58">
    <mergeCell ref="A41:H41"/>
    <mergeCell ref="F37:G37"/>
    <mergeCell ref="H37:J37"/>
    <mergeCell ref="A34:C35"/>
    <mergeCell ref="D34:J35"/>
    <mergeCell ref="A36:C37"/>
    <mergeCell ref="D36:E36"/>
    <mergeCell ref="F36:G36"/>
    <mergeCell ref="D37:E37"/>
    <mergeCell ref="A33:C33"/>
    <mergeCell ref="D33:E33"/>
    <mergeCell ref="H36:J36"/>
    <mergeCell ref="G33:J33"/>
    <mergeCell ref="D31:J31"/>
    <mergeCell ref="F19:J19"/>
    <mergeCell ref="A18:J18"/>
    <mergeCell ref="C22:E22"/>
    <mergeCell ref="F20:J20"/>
    <mergeCell ref="D32:J32"/>
    <mergeCell ref="A31:C32"/>
    <mergeCell ref="A23:C28"/>
    <mergeCell ref="D23:J25"/>
    <mergeCell ref="D26:J26"/>
    <mergeCell ref="D27:J28"/>
    <mergeCell ref="A29:C30"/>
    <mergeCell ref="D29:J30"/>
    <mergeCell ref="F12:J12"/>
    <mergeCell ref="F10:J10"/>
    <mergeCell ref="C11:E11"/>
    <mergeCell ref="F11:J11"/>
    <mergeCell ref="F22:J22"/>
    <mergeCell ref="A13:E13"/>
    <mergeCell ref="F13:J13"/>
    <mergeCell ref="A14:J14"/>
    <mergeCell ref="C15:E15"/>
    <mergeCell ref="F15:J15"/>
    <mergeCell ref="C16:E16"/>
    <mergeCell ref="F16:J16"/>
    <mergeCell ref="C17:E17"/>
    <mergeCell ref="F17:J17"/>
    <mergeCell ref="A19:B22"/>
    <mergeCell ref="C19:E19"/>
    <mergeCell ref="C12:E12"/>
    <mergeCell ref="A15:B17"/>
    <mergeCell ref="C20:E21"/>
    <mergeCell ref="F21:J21"/>
    <mergeCell ref="A1:J1"/>
    <mergeCell ref="C4:D4"/>
    <mergeCell ref="G4:I4"/>
    <mergeCell ref="A6:J6"/>
    <mergeCell ref="A7:B12"/>
    <mergeCell ref="C7:E7"/>
    <mergeCell ref="F7:J7"/>
    <mergeCell ref="C8:E8"/>
    <mergeCell ref="F8:J8"/>
    <mergeCell ref="C9:E9"/>
    <mergeCell ref="F9:J9"/>
    <mergeCell ref="C10:E10"/>
  </mergeCells>
  <pageMargins left="0.98425196850393704" right="0.59055118110236227" top="0.78740157480314965" bottom="0.78740157480314965" header="0.31496062992125984" footer="0.3149606299212598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DONG</vt:lpstr>
      <vt:lpstr>HSDB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ANHCONG</dc:creator>
  <cp:lastModifiedBy>DAO ANH CONG</cp:lastModifiedBy>
  <cp:lastPrinted>2026-03-25T07:24:34Z</cp:lastPrinted>
  <dcterms:created xsi:type="dcterms:W3CDTF">2024-07-14T09:51:39Z</dcterms:created>
  <dcterms:modified xsi:type="dcterms:W3CDTF">2026-03-25T11:34:16Z</dcterms:modified>
</cp:coreProperties>
</file>